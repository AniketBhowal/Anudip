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nudip\"/>
    </mc:Choice>
  </mc:AlternateContent>
  <xr:revisionPtr revIDLastSave="0" documentId="8_{6B933BF6-2B2F-4611-A5E1-E0141EF8A2C4}" xr6:coauthVersionLast="47" xr6:coauthVersionMax="47" xr10:uidLastSave="{00000000-0000-0000-0000-000000000000}"/>
  <bookViews>
    <workbookView xWindow="11424" yWindow="0" windowWidth="11712" windowHeight="13056" tabRatio="500" xr2:uid="{00000000-000D-0000-FFFF-FFFF00000000}"/>
  </bookViews>
  <sheets>
    <sheet name="SalesData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7" i="1" l="1"/>
  <c r="L7" i="1"/>
  <c r="K7" i="1"/>
  <c r="J7" i="1"/>
  <c r="I7" i="1"/>
  <c r="H7" i="1"/>
  <c r="G7" i="1"/>
  <c r="F7" i="1"/>
  <c r="M6" i="1"/>
  <c r="L6" i="1"/>
  <c r="K6" i="1"/>
  <c r="J6" i="1"/>
  <c r="I6" i="1"/>
  <c r="H6" i="1"/>
  <c r="G6" i="1"/>
  <c r="F6" i="1"/>
  <c r="M5" i="1"/>
  <c r="L5" i="1"/>
  <c r="K5" i="1"/>
  <c r="J5" i="1"/>
  <c r="I5" i="1"/>
  <c r="H5" i="1"/>
  <c r="G5" i="1"/>
  <c r="F5" i="1"/>
  <c r="M4" i="1"/>
  <c r="L4" i="1"/>
  <c r="K4" i="1"/>
  <c r="J4" i="1"/>
  <c r="I4" i="1"/>
  <c r="H4" i="1"/>
  <c r="G4" i="1"/>
  <c r="F4" i="1"/>
  <c r="M3" i="1"/>
  <c r="L3" i="1"/>
  <c r="K3" i="1"/>
  <c r="J3" i="1"/>
  <c r="I3" i="1"/>
  <c r="H3" i="1"/>
  <c r="G3" i="1"/>
  <c r="F3" i="1"/>
  <c r="M2" i="1"/>
  <c r="L2" i="1"/>
  <c r="K2" i="1"/>
  <c r="J2" i="1"/>
  <c r="I2" i="1"/>
  <c r="H2" i="1"/>
  <c r="G2" i="1"/>
  <c r="F2" i="1"/>
</calcChain>
</file>

<file path=xl/sharedStrings.xml><?xml version="1.0" encoding="utf-8"?>
<sst xmlns="http://schemas.openxmlformats.org/spreadsheetml/2006/main" count="25" uniqueCount="23">
  <si>
    <t>ProductID</t>
  </si>
  <si>
    <t>Product</t>
  </si>
  <si>
    <t>Sales</t>
  </si>
  <si>
    <t>Target</t>
  </si>
  <si>
    <t>Region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</si>
  <si>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</si>
  <si>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</si>
  <si>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</si>
  <si>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</si>
  <si>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</si>
  <si>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</si>
  <si>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</si>
  <si>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</si>
  <si>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</si>
  <si>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</si>
  <si>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Q1</t>
  </si>
  <si>
    <t>Q2</t>
  </si>
  <si>
    <t>Q3</t>
  </si>
  <si>
    <t>Q4</t>
  </si>
  <si>
    <t>Q5</t>
  </si>
  <si>
    <t>Q6</t>
  </si>
  <si>
    <t>Q7</t>
  </si>
  <si>
    <t>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</si>
</sst>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topLeftCell="B1" zoomScaleNormal="100" workbookViewId="0">
      <selection activeCell="M2" sqref="M2"/>
    </sheetView>
  </sheetViews>
  <sheetFormatPr defaultColWidth="8.6640625" defaultRowHeight="14.4" x14ac:dyDescent="0.3"/>
  <cols>
    <col min="1" max="1" width="9.109375" bestFit="1" customWidth="1"/>
    <col min="2" max="2" width="9" bestFit="1" customWidth="1"/>
    <col min="3" max="3" width="5.109375" bestFit="1" customWidth="1"/>
    <col min="4" max="4" width="6.21875" bestFit="1" customWidth="1"/>
    <col min="5" max="5" width="6.5546875" bestFit="1" customWidth="1"/>
    <col min="6" max="6" width="10" bestFit="1" customWidth="1"/>
    <col min="7" max="7" width="10.21875" bestFit="1" customWidth="1"/>
    <col min="8" max="8" width="4.44140625" bestFit="1" customWidth="1"/>
    <col min="9" max="9" width="4" bestFit="1" customWidth="1"/>
    <col min="10" max="10" width="17.77734375" bestFit="1" customWidth="1"/>
    <col min="11" max="11" width="7.6640625" bestFit="1" customWidth="1"/>
    <col min="12" max="12" width="4" bestFit="1" customWidth="1"/>
    <col min="13" max="13" width="3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3" x14ac:dyDescent="0.3">
      <c r="A2">
        <v>101</v>
      </c>
      <c r="B2" t="s">
        <v>5</v>
      </c>
      <c r="C2">
        <v>120</v>
      </c>
      <c r="D2">
        <v>150</v>
      </c>
      <c r="E2" t="s">
        <v>6</v>
      </c>
      <c r="F2" t="str">
        <f t="shared" ref="F2:F7" si="0">IF(C2&gt;=D2,"Met Target","Not Met")</f>
        <v>Not Met</v>
      </c>
      <c r="G2" t="str">
        <f t="shared" ref="G2:G7" si="1">IF(AND(E2="North",C2&gt;200),"Eligible","Not Eligible")</f>
        <v>Not Eligible</v>
      </c>
      <c r="H2" s="1">
        <f t="shared" ref="H2:H7" si="2">IF(C2&gt;=200,10%,IF(C2&gt;=150,7%,5%))</f>
        <v>0.05</v>
      </c>
      <c r="I2">
        <f t="shared" ref="I2:I7" si="3">IF(C2&gt;=D2,C2*10%,C2*5%)</f>
        <v>6</v>
      </c>
      <c r="J2" t="str">
        <f t="shared" ref="J2:J7" si="4">IF(C2&gt;=200,"Excellent",IF(C2&gt;=150,"Good","Needs Improvement"))</f>
        <v>Needs Improvement</v>
      </c>
      <c r="K2" t="str">
        <f t="shared" ref="K2:K7" si="5">IF(C2&gt;200,"High",IF(C2&gt;=100,"Medium","Low"))</f>
        <v>Medium</v>
      </c>
      <c r="L2">
        <f t="shared" ref="L2:L7" si="6">IF(AND(C2&gt;=150,E2="North"),500,300)</f>
        <v>300</v>
      </c>
      <c r="M2" t="str">
        <f t="shared" ref="M2:M7" si="7">IF(C2&gt;=PERCENTILE($C$2:$C$7,0.75),"Yes","No")</f>
        <v>No</v>
      </c>
    </row>
    <row r="3" spans="1:13" x14ac:dyDescent="0.3">
      <c r="A3">
        <v>102</v>
      </c>
      <c r="B3" t="s">
        <v>7</v>
      </c>
      <c r="C3">
        <v>150</v>
      </c>
      <c r="D3">
        <v>140</v>
      </c>
      <c r="E3" t="s">
        <v>8</v>
      </c>
      <c r="F3" t="str">
        <f t="shared" si="0"/>
        <v>Met Target</v>
      </c>
      <c r="G3" t="str">
        <f t="shared" si="1"/>
        <v>Not Eligible</v>
      </c>
      <c r="H3" s="1">
        <f t="shared" si="2"/>
        <v>7.0000000000000007E-2</v>
      </c>
      <c r="I3">
        <f t="shared" si="3"/>
        <v>15</v>
      </c>
      <c r="J3" t="str">
        <f t="shared" si="4"/>
        <v>Good</v>
      </c>
      <c r="K3" t="str">
        <f t="shared" si="5"/>
        <v>Medium</v>
      </c>
      <c r="L3">
        <f t="shared" si="6"/>
        <v>300</v>
      </c>
      <c r="M3" t="str">
        <f t="shared" si="7"/>
        <v>No</v>
      </c>
    </row>
    <row r="4" spans="1:13" x14ac:dyDescent="0.3">
      <c r="A4">
        <v>103</v>
      </c>
      <c r="B4" t="s">
        <v>9</v>
      </c>
      <c r="C4">
        <v>200</v>
      </c>
      <c r="D4">
        <v>200</v>
      </c>
      <c r="E4" t="s">
        <v>10</v>
      </c>
      <c r="F4" t="str">
        <f t="shared" si="0"/>
        <v>Met Target</v>
      </c>
      <c r="G4" t="str">
        <f t="shared" si="1"/>
        <v>Not Eligible</v>
      </c>
      <c r="H4" s="1">
        <f t="shared" si="2"/>
        <v>0.1</v>
      </c>
      <c r="I4">
        <f t="shared" si="3"/>
        <v>20</v>
      </c>
      <c r="J4" t="str">
        <f t="shared" si="4"/>
        <v>Excellent</v>
      </c>
      <c r="K4" t="str">
        <f t="shared" si="5"/>
        <v>Medium</v>
      </c>
      <c r="L4">
        <f t="shared" si="6"/>
        <v>300</v>
      </c>
      <c r="M4" t="str">
        <f t="shared" si="7"/>
        <v>Yes</v>
      </c>
    </row>
    <row r="5" spans="1:13" x14ac:dyDescent="0.3">
      <c r="A5">
        <v>104</v>
      </c>
      <c r="B5" t="s">
        <v>11</v>
      </c>
      <c r="C5">
        <v>90</v>
      </c>
      <c r="D5">
        <v>100</v>
      </c>
      <c r="E5" t="s">
        <v>12</v>
      </c>
      <c r="F5" t="str">
        <f t="shared" si="0"/>
        <v>Not Met</v>
      </c>
      <c r="G5" t="str">
        <f t="shared" si="1"/>
        <v>Not Eligible</v>
      </c>
      <c r="H5" s="1">
        <f t="shared" si="2"/>
        <v>0.05</v>
      </c>
      <c r="I5">
        <f t="shared" si="3"/>
        <v>4.5</v>
      </c>
      <c r="J5" t="str">
        <f t="shared" si="4"/>
        <v>Needs Improvement</v>
      </c>
      <c r="K5" t="str">
        <f t="shared" si="5"/>
        <v>Low</v>
      </c>
      <c r="L5">
        <f t="shared" si="6"/>
        <v>300</v>
      </c>
      <c r="M5" t="str">
        <f t="shared" si="7"/>
        <v>No</v>
      </c>
    </row>
    <row r="6" spans="1:13" x14ac:dyDescent="0.3">
      <c r="A6">
        <v>105</v>
      </c>
      <c r="B6" t="s">
        <v>13</v>
      </c>
      <c r="C6">
        <v>220</v>
      </c>
      <c r="D6">
        <v>210</v>
      </c>
      <c r="E6" t="s">
        <v>6</v>
      </c>
      <c r="F6" t="str">
        <f t="shared" si="0"/>
        <v>Met Target</v>
      </c>
      <c r="G6" t="str">
        <f t="shared" si="1"/>
        <v>Eligible</v>
      </c>
      <c r="H6" s="1">
        <f t="shared" si="2"/>
        <v>0.1</v>
      </c>
      <c r="I6">
        <f t="shared" si="3"/>
        <v>22</v>
      </c>
      <c r="J6" t="str">
        <f t="shared" si="4"/>
        <v>Excellent</v>
      </c>
      <c r="K6" t="str">
        <f t="shared" si="5"/>
        <v>High</v>
      </c>
      <c r="L6">
        <f t="shared" si="6"/>
        <v>500</v>
      </c>
      <c r="M6" t="str">
        <f t="shared" si="7"/>
        <v>Yes</v>
      </c>
    </row>
    <row r="7" spans="1:13" x14ac:dyDescent="0.3">
      <c r="A7">
        <v>106</v>
      </c>
      <c r="B7" t="s">
        <v>14</v>
      </c>
      <c r="C7">
        <v>130</v>
      </c>
      <c r="D7">
        <v>160</v>
      </c>
      <c r="E7" t="s">
        <v>8</v>
      </c>
      <c r="F7" t="str">
        <f t="shared" si="0"/>
        <v>Not Met</v>
      </c>
      <c r="G7" t="str">
        <f t="shared" si="1"/>
        <v>Not Eligible</v>
      </c>
      <c r="H7" s="1">
        <f t="shared" si="2"/>
        <v>0.05</v>
      </c>
      <c r="I7">
        <f t="shared" si="3"/>
        <v>6.5</v>
      </c>
      <c r="J7" t="str">
        <f t="shared" si="4"/>
        <v>Needs Improvement</v>
      </c>
      <c r="K7" t="str">
        <f t="shared" si="5"/>
        <v>Medium</v>
      </c>
      <c r="L7">
        <f t="shared" si="6"/>
        <v>300</v>
      </c>
      <c r="M7" t="str">
        <f t="shared" si="7"/>
        <v>No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Graknight .</cp:lastModifiedBy>
  <cp:revision>0</cp:revision>
  <dcterms:created xsi:type="dcterms:W3CDTF">2026-05-18T07:27:25Z</dcterms:created>
  <dcterms:modified xsi:type="dcterms:W3CDTF">2026-05-19T04:33:04Z</dcterms:modified>
  <dc:language>en-US</dc:language>
</cp:coreProperties>
</file>